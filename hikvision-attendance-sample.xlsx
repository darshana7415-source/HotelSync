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<sst xmlns="http://schemas.openxmlformats.org/spreadsheetml/2006/main" count="46" uniqueCount="40">
  <si>
    <t>In</t>
  </si>
  <si>
    <t>Out</t>
  </si>
  <si>
    <t>Shift1</t>
  </si>
  <si>
    <t>Shift2</t>
  </si>
  <si>
    <t>Shift3</t>
  </si>
  <si>
    <t>Total</t>
  </si>
  <si>
    <t>Left Early</t>
  </si>
  <si>
    <t>OT</t>
  </si>
  <si>
    <t>Ayesha</t>
  </si>
  <si>
    <t>Kavindu</t>
  </si>
  <si>
    <t>Ruwan</t>
  </si>
  <si>
    <t>Thusitha</t>
  </si>
  <si>
    <t>Muditha</t>
  </si>
  <si>
    <t>Ganindu</t>
  </si>
  <si>
    <t>Thanuj</t>
  </si>
  <si>
    <t>OFF</t>
  </si>
  <si>
    <t>Pathum</t>
  </si>
  <si>
    <t>Gayan</t>
  </si>
  <si>
    <t>Sineth</t>
  </si>
  <si>
    <t>Supun</t>
  </si>
  <si>
    <t>Dulip</t>
  </si>
  <si>
    <t>Kaveesha</t>
  </si>
  <si>
    <t>Nipuni</t>
  </si>
  <si>
    <t>Dineth</t>
  </si>
  <si>
    <t>Shiromi</t>
  </si>
  <si>
    <t>Isuri</t>
  </si>
  <si>
    <t>Navod</t>
  </si>
  <si>
    <t>Nuwan</t>
  </si>
  <si>
    <t>Maleesha</t>
  </si>
  <si>
    <t>Oshada</t>
  </si>
  <si>
    <t>Naveen</t>
  </si>
  <si>
    <t>Sujith</t>
  </si>
  <si>
    <t>Janindu</t>
  </si>
  <si>
    <t>Priyantha</t>
  </si>
  <si>
    <t>Ajith</t>
  </si>
  <si>
    <t>Chathura</t>
  </si>
  <si>
    <t>Heshan</t>
  </si>
  <si>
    <t>STARTING DATE</t>
  </si>
  <si>
    <t>Sandun</t>
  </si>
  <si>
    <t>unmarked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</si>
</sst>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49" xfId="0" applyAlignment="1" applyFill="1" applyFont="1" applyNumberFormat="1">
      <alignment vertical="bottom"/>
    </xf>
    <xf borderId="1" fillId="0" fontId="2" numFmtId="164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1" fillId="0" fontId="1" numFmtId="20" xfId="0" applyAlignment="1" applyBorder="1" applyFont="1" applyNumberFormat="1">
      <alignment horizontal="right" vertical="bottom"/>
    </xf>
    <xf borderId="1" fillId="0" fontId="1" numFmtId="20" xfId="0" applyAlignment="1" applyBorder="1" applyFont="1" applyNumberFormat="1">
      <alignment vertical="bottom"/>
    </xf>
    <xf borderId="4" fillId="0" fontId="1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bottom"/>
    </xf>
    <xf borderId="5" fillId="0" fontId="4" numFmtId="0" xfId="0" applyBorder="1" applyFont="1"/>
    <xf borderId="4" fillId="0" fontId="4" numFmtId="0" xfId="0" applyBorder="1" applyFont="1"/>
    <xf borderId="4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>
      <c r="A2" s="1"/>
      <c r="B2" s="3">
        <v>46030.0</v>
      </c>
      <c r="C2" s="4" t="s">
        <v>0</v>
      </c>
      <c r="D2" s="4" t="s">
        <v>1</v>
      </c>
      <c r="E2" s="4" t="s">
        <v>0</v>
      </c>
      <c r="F2" s="4" t="s">
        <v>1</v>
      </c>
      <c r="G2" s="4" t="s">
        <v>0</v>
      </c>
      <c r="H2" s="4" t="s">
        <v>1</v>
      </c>
      <c r="I2" s="5" t="s">
        <v>2</v>
      </c>
      <c r="J2" s="5" t="s">
        <v>3</v>
      </c>
      <c r="K2" s="5" t="s">
        <v>4</v>
      </c>
      <c r="L2" s="6" t="s">
        <v>5</v>
      </c>
      <c r="M2" s="7" t="s">
        <v>6</v>
      </c>
      <c r="N2" s="7" t="s">
        <v>7</v>
      </c>
      <c r="O2" s="1"/>
      <c r="P2" s="1"/>
    </row>
    <row r="3">
      <c r="A3" s="1"/>
      <c r="B3" s="8" t="s">
        <v>8</v>
      </c>
      <c r="C3" s="9">
        <v>0.2534722222222222</v>
      </c>
      <c r="D3" s="9">
        <v>0.7361111111111112</v>
      </c>
      <c r="E3" s="10"/>
      <c r="F3" s="10"/>
      <c r="G3" s="10"/>
      <c r="H3" s="10"/>
      <c r="I3" s="11" t="str">
        <f t="shared" ref="I3:I31" si="1">TEXT(D3-C3, "h:mm")</f>
        <v>11:35</v>
      </c>
      <c r="J3" s="5" t="str">
        <f t="shared" ref="J3:J31" si="2">TEXT(F3-E3, "h:mm")</f>
        <v>0:00</v>
      </c>
      <c r="K3" s="5" t="str">
        <f t="shared" ref="K3:K31" si="3">TEXT(H3-G3, "h:mm")</f>
        <v>0:00</v>
      </c>
      <c r="L3" s="6" t="str">
        <f t="shared" ref="L3:L31" si="4">TEXT(I3+J3+K3, "h:mm")</f>
        <v>11:35</v>
      </c>
      <c r="M3" s="9">
        <f t="shared" ref="M3:M20" si="5">$P$1-L3</f>
        <v>-0.4826388889</v>
      </c>
      <c r="N3" s="9">
        <f t="shared" ref="N3:N20" si="6">L3-$P$1</f>
        <v>0.4826388889</v>
      </c>
      <c r="O3" s="1"/>
      <c r="P3" s="1"/>
    </row>
    <row r="4">
      <c r="A4" s="1"/>
      <c r="B4" s="8" t="s">
        <v>9</v>
      </c>
      <c r="C4" s="9">
        <v>0.3763888888888889</v>
      </c>
      <c r="D4" s="9">
        <v>0.79375</v>
      </c>
      <c r="E4" s="10"/>
      <c r="F4" s="10"/>
      <c r="G4" s="10"/>
      <c r="H4" s="10"/>
      <c r="I4" s="11" t="str">
        <f t="shared" si="1"/>
        <v>10:01</v>
      </c>
      <c r="J4" s="5" t="str">
        <f t="shared" si="2"/>
        <v>0:00</v>
      </c>
      <c r="K4" s="5" t="str">
        <f t="shared" si="3"/>
        <v>0:00</v>
      </c>
      <c r="L4" s="6" t="str">
        <f t="shared" si="4"/>
        <v>10:01</v>
      </c>
      <c r="M4" s="9">
        <f t="shared" si="5"/>
        <v>-0.4173611111</v>
      </c>
      <c r="N4" s="9">
        <f t="shared" si="6"/>
        <v>0.4173611111</v>
      </c>
      <c r="O4" s="1"/>
      <c r="P4" s="1"/>
    </row>
    <row r="5">
      <c r="A5" s="1"/>
      <c r="B5" s="8" t="s">
        <v>10</v>
      </c>
      <c r="C5" s="9">
        <v>0.2743055555555556</v>
      </c>
      <c r="D5" s="9">
        <v>0.5020833333333333</v>
      </c>
      <c r="E5" s="9">
        <v>0.6472222222222223</v>
      </c>
      <c r="F5" s="9">
        <v>0.9666666666666667</v>
      </c>
      <c r="G5" s="10"/>
      <c r="H5" s="10"/>
      <c r="I5" s="11" t="str">
        <f t="shared" si="1"/>
        <v>5:28</v>
      </c>
      <c r="J5" s="5" t="str">
        <f t="shared" si="2"/>
        <v>7:40</v>
      </c>
      <c r="K5" s="5" t="str">
        <f t="shared" si="3"/>
        <v>0:00</v>
      </c>
      <c r="L5" s="6" t="str">
        <f t="shared" si="4"/>
        <v>13:08</v>
      </c>
      <c r="M5" s="9">
        <f t="shared" si="5"/>
        <v>-0.5472222222</v>
      </c>
      <c r="N5" s="9">
        <f t="shared" si="6"/>
        <v>0.5472222222</v>
      </c>
      <c r="O5" s="1"/>
      <c r="P5" s="1"/>
    </row>
    <row r="6">
      <c r="A6" s="1"/>
      <c r="B6" s="8" t="s">
        <v>11</v>
      </c>
      <c r="C6" s="9">
        <v>0.29305555555555557</v>
      </c>
      <c r="D6" s="9">
        <v>0.7194444444444444</v>
      </c>
      <c r="E6" s="10"/>
      <c r="F6" s="10"/>
      <c r="G6" s="10"/>
      <c r="H6" s="10"/>
      <c r="I6" s="11" t="str">
        <f t="shared" si="1"/>
        <v>10:14</v>
      </c>
      <c r="J6" s="5" t="str">
        <f t="shared" si="2"/>
        <v>0:00</v>
      </c>
      <c r="K6" s="5" t="str">
        <f t="shared" si="3"/>
        <v>0:00</v>
      </c>
      <c r="L6" s="6" t="str">
        <f t="shared" si="4"/>
        <v>10:14</v>
      </c>
      <c r="M6" s="9">
        <f t="shared" si="5"/>
        <v>-0.4263888889</v>
      </c>
      <c r="N6" s="9">
        <f t="shared" si="6"/>
        <v>0.4263888889</v>
      </c>
      <c r="O6" s="1"/>
      <c r="P6" s="1"/>
    </row>
    <row r="7">
      <c r="A7" s="1"/>
      <c r="B7" s="8" t="s">
        <v>12</v>
      </c>
      <c r="C7" s="9">
        <v>0.40694444444444444</v>
      </c>
      <c r="D7" s="9">
        <v>0.8722222222222222</v>
      </c>
      <c r="E7" s="10"/>
      <c r="F7" s="10"/>
      <c r="G7" s="10"/>
      <c r="H7" s="10"/>
      <c r="I7" s="11" t="str">
        <f t="shared" si="1"/>
        <v>11:10</v>
      </c>
      <c r="J7" s="5" t="str">
        <f t="shared" si="2"/>
        <v>0:00</v>
      </c>
      <c r="K7" s="5" t="str">
        <f t="shared" si="3"/>
        <v>0:00</v>
      </c>
      <c r="L7" s="6" t="str">
        <f t="shared" si="4"/>
        <v>11:10</v>
      </c>
      <c r="M7" s="9">
        <f t="shared" si="5"/>
        <v>-0.4652777778</v>
      </c>
      <c r="N7" s="9">
        <f t="shared" si="6"/>
        <v>0.4652777778</v>
      </c>
      <c r="O7" s="1"/>
      <c r="P7" s="1"/>
    </row>
    <row r="8">
      <c r="A8" s="1"/>
      <c r="B8" s="8" t="s">
        <v>13</v>
      </c>
      <c r="C8" s="9">
        <v>0.3854166666666667</v>
      </c>
      <c r="D8" s="9">
        <v>0.8041666666666667</v>
      </c>
      <c r="E8" s="10"/>
      <c r="F8" s="10"/>
      <c r="G8" s="10"/>
      <c r="H8" s="10"/>
      <c r="I8" s="11" t="str">
        <f t="shared" si="1"/>
        <v>10:03</v>
      </c>
      <c r="J8" s="5" t="str">
        <f t="shared" si="2"/>
        <v>0:00</v>
      </c>
      <c r="K8" s="5" t="str">
        <f t="shared" si="3"/>
        <v>0:00</v>
      </c>
      <c r="L8" s="6" t="str">
        <f t="shared" si="4"/>
        <v>10:03</v>
      </c>
      <c r="M8" s="9">
        <f t="shared" si="5"/>
        <v>-0.41875</v>
      </c>
      <c r="N8" s="9">
        <f t="shared" si="6"/>
        <v>0.41875</v>
      </c>
      <c r="O8" s="1"/>
      <c r="P8" s="1"/>
    </row>
    <row r="9">
      <c r="A9" s="1"/>
      <c r="B9" s="8" t="s">
        <v>14</v>
      </c>
      <c r="C9" s="12" t="s">
        <v>15</v>
      </c>
      <c r="D9" s="13"/>
      <c r="E9" s="13"/>
      <c r="F9" s="13"/>
      <c r="G9" s="13"/>
      <c r="H9" s="14"/>
      <c r="I9" s="15" t="str">
        <f t="shared" si="1"/>
        <v>#VALUE!</v>
      </c>
      <c r="J9" s="5" t="str">
        <f t="shared" si="2"/>
        <v>0:00</v>
      </c>
      <c r="K9" s="5" t="str">
        <f t="shared" si="3"/>
        <v>0:00</v>
      </c>
      <c r="L9" s="7" t="str">
        <f t="shared" si="4"/>
        <v>#VALUE!</v>
      </c>
      <c r="M9" s="9" t="str">
        <f t="shared" si="5"/>
        <v>#VALUE!</v>
      </c>
      <c r="N9" s="9" t="str">
        <f t="shared" si="6"/>
        <v>#VALUE!</v>
      </c>
      <c r="O9" s="1"/>
      <c r="P9" s="1"/>
    </row>
    <row r="10">
      <c r="A10" s="1"/>
      <c r="B10" s="8" t="s">
        <v>16</v>
      </c>
      <c r="C10" s="9">
        <v>0.25833333333333336</v>
      </c>
      <c r="D10" s="9">
        <v>0.6736111111111112</v>
      </c>
      <c r="E10" s="10"/>
      <c r="F10" s="10"/>
      <c r="G10" s="10"/>
      <c r="H10" s="10"/>
      <c r="I10" s="11" t="str">
        <f t="shared" si="1"/>
        <v>9:58</v>
      </c>
      <c r="J10" s="5" t="str">
        <f t="shared" si="2"/>
        <v>0:00</v>
      </c>
      <c r="K10" s="5" t="str">
        <f t="shared" si="3"/>
        <v>0:00</v>
      </c>
      <c r="L10" s="6" t="str">
        <f t="shared" si="4"/>
        <v>9:58</v>
      </c>
      <c r="M10" s="9">
        <f t="shared" si="5"/>
        <v>-0.4152777778</v>
      </c>
      <c r="N10" s="9">
        <f t="shared" si="6"/>
        <v>0.4152777778</v>
      </c>
      <c r="O10" s="1"/>
      <c r="P10" s="1"/>
    </row>
    <row r="11">
      <c r="A11" s="1"/>
      <c r="B11" s="8" t="s">
        <v>17</v>
      </c>
      <c r="C11" s="9">
        <v>0.32569444444444445</v>
      </c>
      <c r="D11" s="9">
        <v>0.6493055555555556</v>
      </c>
      <c r="E11" s="9">
        <v>0.7583333333333333</v>
      </c>
      <c r="F11" s="9">
        <v>0.9722222222222222</v>
      </c>
      <c r="G11" s="10"/>
      <c r="H11" s="10"/>
      <c r="I11" s="11" t="str">
        <f t="shared" si="1"/>
        <v>7:46</v>
      </c>
      <c r="J11" s="5" t="str">
        <f t="shared" si="2"/>
        <v>5:08</v>
      </c>
      <c r="K11" s="5" t="str">
        <f t="shared" si="3"/>
        <v>0:00</v>
      </c>
      <c r="L11" s="6" t="str">
        <f t="shared" si="4"/>
        <v>12:54</v>
      </c>
      <c r="M11" s="9">
        <f t="shared" si="5"/>
        <v>-0.5375</v>
      </c>
      <c r="N11" s="9">
        <f t="shared" si="6"/>
        <v>0.5375</v>
      </c>
      <c r="O11" s="1"/>
      <c r="P11" s="1"/>
    </row>
    <row r="12">
      <c r="A12" s="1"/>
      <c r="B12" s="8" t="s">
        <v>18</v>
      </c>
      <c r="C12" s="9">
        <v>0.3763888888888889</v>
      </c>
      <c r="D12" s="9">
        <v>0.7951388888888888</v>
      </c>
      <c r="E12" s="10"/>
      <c r="F12" s="10"/>
      <c r="G12" s="10"/>
      <c r="H12" s="10"/>
      <c r="I12" s="11" t="str">
        <f t="shared" si="1"/>
        <v>10:03</v>
      </c>
      <c r="J12" s="5" t="str">
        <f t="shared" si="2"/>
        <v>0:00</v>
      </c>
      <c r="K12" s="5" t="str">
        <f t="shared" si="3"/>
        <v>0:00</v>
      </c>
      <c r="L12" s="6" t="str">
        <f t="shared" si="4"/>
        <v>10:03</v>
      </c>
      <c r="M12" s="9">
        <f t="shared" si="5"/>
        <v>-0.41875</v>
      </c>
      <c r="N12" s="9">
        <f t="shared" si="6"/>
        <v>0.41875</v>
      </c>
      <c r="O12" s="1"/>
      <c r="P12" s="1"/>
    </row>
    <row r="13">
      <c r="A13" s="1"/>
      <c r="B13" s="8" t="s">
        <v>19</v>
      </c>
      <c r="C13" s="9">
        <v>0.4798611111111111</v>
      </c>
      <c r="D13" s="9">
        <v>0.9708333333333333</v>
      </c>
      <c r="E13" s="10"/>
      <c r="F13" s="10"/>
      <c r="G13" s="10"/>
      <c r="H13" s="10"/>
      <c r="I13" s="11" t="str">
        <f t="shared" si="1"/>
        <v>11:47</v>
      </c>
      <c r="J13" s="5" t="str">
        <f t="shared" si="2"/>
        <v>0:00</v>
      </c>
      <c r="K13" s="5" t="str">
        <f t="shared" si="3"/>
        <v>0:00</v>
      </c>
      <c r="L13" s="6" t="str">
        <f t="shared" si="4"/>
        <v>11:47</v>
      </c>
      <c r="M13" s="9">
        <f t="shared" si="5"/>
        <v>-0.4909722222</v>
      </c>
      <c r="N13" s="9">
        <f t="shared" si="6"/>
        <v>0.4909722222</v>
      </c>
      <c r="O13" s="1"/>
      <c r="P13" s="1"/>
    </row>
    <row r="14">
      <c r="A14" s="1"/>
      <c r="B14" s="8" t="s">
        <v>20</v>
      </c>
      <c r="C14" s="9">
        <v>0.4263888888888889</v>
      </c>
      <c r="D14" s="9">
        <v>0.8388888888888889</v>
      </c>
      <c r="E14" s="10"/>
      <c r="F14" s="10"/>
      <c r="G14" s="10"/>
      <c r="H14" s="10"/>
      <c r="I14" s="11" t="str">
        <f t="shared" si="1"/>
        <v>9:54</v>
      </c>
      <c r="J14" s="5" t="str">
        <f t="shared" si="2"/>
        <v>0:00</v>
      </c>
      <c r="K14" s="5" t="str">
        <f t="shared" si="3"/>
        <v>0:00</v>
      </c>
      <c r="L14" s="6" t="str">
        <f t="shared" si="4"/>
        <v>9:54</v>
      </c>
      <c r="M14" s="9">
        <f t="shared" si="5"/>
        <v>-0.4125</v>
      </c>
      <c r="N14" s="9">
        <f t="shared" si="6"/>
        <v>0.4125</v>
      </c>
      <c r="O14" s="1"/>
      <c r="P14" s="1"/>
    </row>
    <row r="15">
      <c r="A15" s="1"/>
      <c r="B15" s="8" t="s">
        <v>21</v>
      </c>
      <c r="C15" s="9">
        <v>0.3763888888888889</v>
      </c>
      <c r="D15" s="9">
        <v>0.7951388888888888</v>
      </c>
      <c r="E15" s="10"/>
      <c r="F15" s="10"/>
      <c r="G15" s="10"/>
      <c r="H15" s="10"/>
      <c r="I15" s="11" t="str">
        <f t="shared" si="1"/>
        <v>10:03</v>
      </c>
      <c r="J15" s="5" t="str">
        <f t="shared" si="2"/>
        <v>0:00</v>
      </c>
      <c r="K15" s="5" t="str">
        <f t="shared" si="3"/>
        <v>0:00</v>
      </c>
      <c r="L15" s="6" t="str">
        <f t="shared" si="4"/>
        <v>10:03</v>
      </c>
      <c r="M15" s="9">
        <f t="shared" si="5"/>
        <v>-0.41875</v>
      </c>
      <c r="N15" s="9">
        <f t="shared" si="6"/>
        <v>0.41875</v>
      </c>
      <c r="O15" s="1"/>
      <c r="P15" s="1"/>
    </row>
    <row r="16">
      <c r="A16" s="1"/>
      <c r="B16" s="8" t="s">
        <v>22</v>
      </c>
      <c r="C16" s="12" t="s">
        <v>15</v>
      </c>
      <c r="D16" s="13"/>
      <c r="E16" s="13"/>
      <c r="F16" s="13"/>
      <c r="G16" s="13"/>
      <c r="H16" s="14"/>
      <c r="I16" s="15" t="str">
        <f t="shared" si="1"/>
        <v>#VALUE!</v>
      </c>
      <c r="J16" s="5" t="str">
        <f t="shared" si="2"/>
        <v>0:00</v>
      </c>
      <c r="K16" s="5" t="str">
        <f t="shared" si="3"/>
        <v>0:00</v>
      </c>
      <c r="L16" s="7" t="str">
        <f t="shared" si="4"/>
        <v>#VALUE!</v>
      </c>
      <c r="M16" s="9" t="str">
        <f t="shared" si="5"/>
        <v>#VALUE!</v>
      </c>
      <c r="N16" s="9" t="str">
        <f t="shared" si="6"/>
        <v>#VALUE!</v>
      </c>
      <c r="O16" s="1"/>
      <c r="P16" s="1"/>
    </row>
    <row r="17">
      <c r="A17" s="1"/>
      <c r="B17" s="8" t="s">
        <v>23</v>
      </c>
      <c r="C17" s="9">
        <v>0.38263888888888886</v>
      </c>
      <c r="D17" s="9">
        <v>0.8111111111111111</v>
      </c>
      <c r="E17" s="10"/>
      <c r="F17" s="10"/>
      <c r="G17" s="10"/>
      <c r="H17" s="10"/>
      <c r="I17" s="11" t="str">
        <f t="shared" si="1"/>
        <v>10:17</v>
      </c>
      <c r="J17" s="5" t="str">
        <f t="shared" si="2"/>
        <v>0:00</v>
      </c>
      <c r="K17" s="5" t="str">
        <f t="shared" si="3"/>
        <v>0:00</v>
      </c>
      <c r="L17" s="6" t="str">
        <f t="shared" si="4"/>
        <v>10:17</v>
      </c>
      <c r="M17" s="9">
        <f t="shared" si="5"/>
        <v>-0.4284722222</v>
      </c>
      <c r="N17" s="9">
        <f t="shared" si="6"/>
        <v>0.4284722222</v>
      </c>
      <c r="O17" s="1"/>
      <c r="P17" s="1"/>
    </row>
    <row r="18">
      <c r="A18" s="1"/>
      <c r="B18" s="8" t="s">
        <v>24</v>
      </c>
      <c r="C18" s="9">
        <v>0.34791666666666665</v>
      </c>
      <c r="D18" s="9">
        <v>0.7493055555555556</v>
      </c>
      <c r="E18" s="10"/>
      <c r="F18" s="10"/>
      <c r="G18" s="10"/>
      <c r="H18" s="10"/>
      <c r="I18" s="11" t="str">
        <f t="shared" si="1"/>
        <v>9:38</v>
      </c>
      <c r="J18" s="5" t="str">
        <f t="shared" si="2"/>
        <v>0:00</v>
      </c>
      <c r="K18" s="5" t="str">
        <f t="shared" si="3"/>
        <v>0:00</v>
      </c>
      <c r="L18" s="6" t="str">
        <f t="shared" si="4"/>
        <v>9:38</v>
      </c>
      <c r="M18" s="9">
        <f t="shared" si="5"/>
        <v>-0.4013888889</v>
      </c>
      <c r="N18" s="9">
        <f t="shared" si="6"/>
        <v>0.4013888889</v>
      </c>
      <c r="O18" s="1"/>
      <c r="P18" s="1"/>
    </row>
    <row r="19">
      <c r="A19" s="1"/>
      <c r="B19" s="8" t="s">
        <v>25</v>
      </c>
      <c r="C19" s="9">
        <v>0.4236111111111111</v>
      </c>
      <c r="D19" s="9">
        <v>0.8465277777777778</v>
      </c>
      <c r="E19" s="10"/>
      <c r="F19" s="10"/>
      <c r="G19" s="10"/>
      <c r="H19" s="10"/>
      <c r="I19" s="11" t="str">
        <f t="shared" si="1"/>
        <v>10:09</v>
      </c>
      <c r="J19" s="5" t="str">
        <f t="shared" si="2"/>
        <v>0:00</v>
      </c>
      <c r="K19" s="5" t="str">
        <f t="shared" si="3"/>
        <v>0:00</v>
      </c>
      <c r="L19" s="6" t="str">
        <f t="shared" si="4"/>
        <v>10:09</v>
      </c>
      <c r="M19" s="9">
        <f t="shared" si="5"/>
        <v>-0.4229166667</v>
      </c>
      <c r="N19" s="9">
        <f t="shared" si="6"/>
        <v>0.4229166667</v>
      </c>
      <c r="O19" s="1"/>
      <c r="P19" s="1"/>
    </row>
    <row r="20">
      <c r="A20" s="1"/>
      <c r="B20" s="8" t="s">
        <v>26</v>
      </c>
      <c r="C20" s="9">
        <v>0.4076388888888889</v>
      </c>
      <c r="D20" s="9">
        <v>0.8402777777777778</v>
      </c>
      <c r="E20" s="10"/>
      <c r="F20" s="10"/>
      <c r="G20" s="10"/>
      <c r="H20" s="10"/>
      <c r="I20" s="11" t="str">
        <f t="shared" si="1"/>
        <v>10:23</v>
      </c>
      <c r="J20" s="5" t="str">
        <f t="shared" si="2"/>
        <v>0:00</v>
      </c>
      <c r="K20" s="5" t="str">
        <f t="shared" si="3"/>
        <v>0:00</v>
      </c>
      <c r="L20" s="6" t="str">
        <f t="shared" si="4"/>
        <v>10:23</v>
      </c>
      <c r="M20" s="9">
        <f t="shared" si="5"/>
        <v>-0.4326388889</v>
      </c>
      <c r="N20" s="9">
        <f t="shared" si="6"/>
        <v>0.4326388889</v>
      </c>
      <c r="O20" s="1"/>
      <c r="P20" s="1"/>
    </row>
    <row r="21">
      <c r="A21" s="1"/>
      <c r="B21" s="8" t="s">
        <v>27</v>
      </c>
      <c r="C21" s="9">
        <v>0.75</v>
      </c>
      <c r="D21" s="9">
        <v>0.9993055555555556</v>
      </c>
      <c r="E21" s="9">
        <v>0.0</v>
      </c>
      <c r="F21" s="9">
        <v>0.25833333333333336</v>
      </c>
      <c r="G21" s="10"/>
      <c r="H21" s="10"/>
      <c r="I21" s="11" t="str">
        <f t="shared" si="1"/>
        <v>5:59</v>
      </c>
      <c r="J21" s="5" t="str">
        <f t="shared" si="2"/>
        <v>6:12</v>
      </c>
      <c r="K21" s="5" t="str">
        <f t="shared" si="3"/>
        <v>0:00</v>
      </c>
      <c r="L21" s="6" t="str">
        <f t="shared" si="4"/>
        <v>12:11</v>
      </c>
      <c r="M21" s="9">
        <f>$P$3-L21</f>
        <v>-0.5076388889</v>
      </c>
      <c r="N21" s="9">
        <f>L21-$P$3</f>
        <v>0.5076388889</v>
      </c>
      <c r="O21" s="1"/>
      <c r="P21" s="1"/>
    </row>
    <row r="22">
      <c r="A22" s="1"/>
      <c r="B22" s="8" t="s">
        <v>28</v>
      </c>
      <c r="C22" s="9">
        <v>0.47708333333333336</v>
      </c>
      <c r="D22" s="9">
        <v>0.9159722222222222</v>
      </c>
      <c r="E22" s="10"/>
      <c r="F22" s="10"/>
      <c r="G22" s="10"/>
      <c r="H22" s="10"/>
      <c r="I22" s="11" t="str">
        <f t="shared" si="1"/>
        <v>10:32</v>
      </c>
      <c r="J22" s="5" t="str">
        <f t="shared" si="2"/>
        <v>0:00</v>
      </c>
      <c r="K22" s="5" t="str">
        <f t="shared" si="3"/>
        <v>0:00</v>
      </c>
      <c r="L22" s="6" t="str">
        <f t="shared" si="4"/>
        <v>10:32</v>
      </c>
      <c r="M22" s="9">
        <f t="shared" ref="M22:M31" si="7">$P$1-L22</f>
        <v>-0.4388888889</v>
      </c>
      <c r="N22" s="9">
        <f t="shared" ref="N22:N31" si="8">L22-$P$1</f>
        <v>0.4388888889</v>
      </c>
      <c r="O22" s="1"/>
      <c r="P22" s="1"/>
    </row>
    <row r="23">
      <c r="A23" s="1"/>
      <c r="B23" s="8" t="s">
        <v>29</v>
      </c>
      <c r="C23" s="9">
        <v>0.24930555555555556</v>
      </c>
      <c r="D23" s="9">
        <v>0.50625</v>
      </c>
      <c r="E23" s="9">
        <v>0.75625</v>
      </c>
      <c r="F23" s="9">
        <v>0.9861111111111112</v>
      </c>
      <c r="G23" s="10"/>
      <c r="H23" s="10"/>
      <c r="I23" s="11" t="str">
        <f t="shared" si="1"/>
        <v>6:10</v>
      </c>
      <c r="J23" s="5" t="str">
        <f t="shared" si="2"/>
        <v>5:31</v>
      </c>
      <c r="K23" s="5" t="str">
        <f t="shared" si="3"/>
        <v>0:00</v>
      </c>
      <c r="L23" s="6" t="str">
        <f t="shared" si="4"/>
        <v>11:41</v>
      </c>
      <c r="M23" s="9">
        <f t="shared" si="7"/>
        <v>-0.4868055556</v>
      </c>
      <c r="N23" s="9">
        <f t="shared" si="8"/>
        <v>0.4868055556</v>
      </c>
      <c r="O23" s="1"/>
      <c r="P23" s="1"/>
    </row>
    <row r="24">
      <c r="A24" s="1"/>
      <c r="B24" s="8" t="s">
        <v>30</v>
      </c>
      <c r="C24" s="9">
        <v>0.2708333333333333</v>
      </c>
      <c r="D24" s="9">
        <v>0.6826388888888889</v>
      </c>
      <c r="E24" s="10"/>
      <c r="F24" s="10"/>
      <c r="G24" s="10"/>
      <c r="H24" s="10"/>
      <c r="I24" s="11" t="str">
        <f t="shared" si="1"/>
        <v>9:53</v>
      </c>
      <c r="J24" s="5" t="str">
        <f t="shared" si="2"/>
        <v>0:00</v>
      </c>
      <c r="K24" s="5" t="str">
        <f t="shared" si="3"/>
        <v>0:00</v>
      </c>
      <c r="L24" s="6" t="str">
        <f t="shared" si="4"/>
        <v>9:53</v>
      </c>
      <c r="M24" s="9">
        <f t="shared" si="7"/>
        <v>-0.4118055556</v>
      </c>
      <c r="N24" s="9">
        <f t="shared" si="8"/>
        <v>0.4118055556</v>
      </c>
      <c r="O24" s="1"/>
      <c r="P24" s="1"/>
    </row>
    <row r="25">
      <c r="A25" s="1"/>
      <c r="B25" s="8" t="s">
        <v>31</v>
      </c>
      <c r="C25" s="9">
        <v>0.775</v>
      </c>
      <c r="D25" s="9">
        <v>0.9993055555555556</v>
      </c>
      <c r="E25" s="9">
        <v>0.0</v>
      </c>
      <c r="F25" s="9">
        <v>0.2763888888888889</v>
      </c>
      <c r="G25" s="10"/>
      <c r="H25" s="10"/>
      <c r="I25" s="11" t="str">
        <f t="shared" si="1"/>
        <v>5:23</v>
      </c>
      <c r="J25" s="5" t="str">
        <f t="shared" si="2"/>
        <v>6:38</v>
      </c>
      <c r="K25" s="5" t="str">
        <f t="shared" si="3"/>
        <v>0:00</v>
      </c>
      <c r="L25" s="6" t="str">
        <f t="shared" si="4"/>
        <v>12:01</v>
      </c>
      <c r="M25" s="9">
        <f t="shared" si="7"/>
        <v>-0.5006944444</v>
      </c>
      <c r="N25" s="9">
        <f t="shared" si="8"/>
        <v>0.5006944444</v>
      </c>
      <c r="O25" s="1"/>
      <c r="P25" s="1"/>
    </row>
    <row r="26">
      <c r="A26" s="1"/>
      <c r="B26" s="8" t="s">
        <v>32</v>
      </c>
      <c r="C26" s="9">
        <v>0.4847222222222222</v>
      </c>
      <c r="D26" s="9">
        <v>0.9861111111111112</v>
      </c>
      <c r="E26" s="10"/>
      <c r="F26" s="10"/>
      <c r="G26" s="10"/>
      <c r="H26" s="10"/>
      <c r="I26" s="11" t="str">
        <f t="shared" si="1"/>
        <v>12:02</v>
      </c>
      <c r="J26" s="5" t="str">
        <f t="shared" si="2"/>
        <v>0:00</v>
      </c>
      <c r="K26" s="5" t="str">
        <f t="shared" si="3"/>
        <v>0:00</v>
      </c>
      <c r="L26" s="6" t="str">
        <f t="shared" si="4"/>
        <v>12:02</v>
      </c>
      <c r="M26" s="9">
        <f t="shared" si="7"/>
        <v>-0.5013888889</v>
      </c>
      <c r="N26" s="9">
        <f t="shared" si="8"/>
        <v>0.5013888889</v>
      </c>
      <c r="O26" s="1"/>
      <c r="P26" s="1"/>
    </row>
    <row r="27">
      <c r="A27" s="1"/>
      <c r="B27" s="8" t="s">
        <v>33</v>
      </c>
      <c r="C27" s="9">
        <v>0.25416666666666665</v>
      </c>
      <c r="D27" s="9">
        <v>0.6770833333333334</v>
      </c>
      <c r="E27" s="10"/>
      <c r="F27" s="10"/>
      <c r="G27" s="10"/>
      <c r="H27" s="10"/>
      <c r="I27" s="11" t="str">
        <f t="shared" si="1"/>
        <v>10:09</v>
      </c>
      <c r="J27" s="5" t="str">
        <f t="shared" si="2"/>
        <v>0:00</v>
      </c>
      <c r="K27" s="5" t="str">
        <f t="shared" si="3"/>
        <v>0:00</v>
      </c>
      <c r="L27" s="6" t="str">
        <f t="shared" si="4"/>
        <v>10:09</v>
      </c>
      <c r="M27" s="9">
        <f t="shared" si="7"/>
        <v>-0.4229166667</v>
      </c>
      <c r="N27" s="9">
        <f t="shared" si="8"/>
        <v>0.4229166667</v>
      </c>
      <c r="O27" s="1"/>
      <c r="P27" s="1"/>
    </row>
    <row r="28">
      <c r="A28" s="1"/>
      <c r="B28" s="8" t="s">
        <v>34</v>
      </c>
      <c r="C28" s="9">
        <v>0.525</v>
      </c>
      <c r="D28" s="9">
        <v>0.9479166666666666</v>
      </c>
      <c r="E28" s="10"/>
      <c r="F28" s="10"/>
      <c r="G28" s="10"/>
      <c r="H28" s="10"/>
      <c r="I28" s="11" t="str">
        <f t="shared" si="1"/>
        <v>10:09</v>
      </c>
      <c r="J28" s="5" t="str">
        <f t="shared" si="2"/>
        <v>0:00</v>
      </c>
      <c r="K28" s="5" t="str">
        <f t="shared" si="3"/>
        <v>0:00</v>
      </c>
      <c r="L28" s="6" t="str">
        <f t="shared" si="4"/>
        <v>10:09</v>
      </c>
      <c r="M28" s="9">
        <f t="shared" si="7"/>
        <v>-0.4229166667</v>
      </c>
      <c r="N28" s="9">
        <f t="shared" si="8"/>
        <v>0.4229166667</v>
      </c>
      <c r="O28" s="1"/>
      <c r="P28" s="1"/>
    </row>
    <row r="29">
      <c r="A29" s="1"/>
      <c r="B29" s="8" t="s">
        <v>35</v>
      </c>
      <c r="C29" s="9">
        <v>0.2708333333333333</v>
      </c>
      <c r="D29" s="9">
        <v>0.6875</v>
      </c>
      <c r="E29" s="10"/>
      <c r="F29" s="10"/>
      <c r="G29" s="10"/>
      <c r="H29" s="10"/>
      <c r="I29" s="11" t="str">
        <f t="shared" si="1"/>
        <v>10:00</v>
      </c>
      <c r="J29" s="5" t="str">
        <f t="shared" si="2"/>
        <v>0:00</v>
      </c>
      <c r="K29" s="5" t="str">
        <f t="shared" si="3"/>
        <v>0:00</v>
      </c>
      <c r="L29" s="6" t="str">
        <f t="shared" si="4"/>
        <v>10:00</v>
      </c>
      <c r="M29" s="9">
        <f t="shared" si="7"/>
        <v>-0.4166666667</v>
      </c>
      <c r="N29" s="9">
        <f t="shared" si="8"/>
        <v>0.4166666667</v>
      </c>
      <c r="O29" s="1"/>
      <c r="P29" s="1"/>
    </row>
    <row r="30">
      <c r="A30" s="1"/>
      <c r="B30" s="8" t="s">
        <v>36</v>
      </c>
      <c r="C30" s="12" t="s">
        <v>37</v>
      </c>
      <c r="D30" s="13"/>
      <c r="E30" s="13"/>
      <c r="F30" s="14"/>
      <c r="G30" s="9">
        <v>0.36319444444444443</v>
      </c>
      <c r="H30" s="9">
        <v>0.7493055555555556</v>
      </c>
      <c r="I30" s="15" t="str">
        <f t="shared" si="1"/>
        <v>#VALUE!</v>
      </c>
      <c r="J30" s="5" t="str">
        <f t="shared" si="2"/>
        <v>0:00</v>
      </c>
      <c r="K30" s="5" t="str">
        <f t="shared" si="3"/>
        <v>9:16</v>
      </c>
      <c r="L30" s="7" t="str">
        <f t="shared" si="4"/>
        <v>#VALUE!</v>
      </c>
      <c r="M30" s="9" t="str">
        <f t="shared" si="7"/>
        <v>#VALUE!</v>
      </c>
      <c r="N30" s="9" t="str">
        <f t="shared" si="8"/>
        <v>#VALUE!</v>
      </c>
      <c r="O30" s="1"/>
      <c r="P30" s="1"/>
    </row>
    <row r="31">
      <c r="A31" s="1"/>
      <c r="B31" s="8" t="s">
        <v>38</v>
      </c>
      <c r="C31" s="12" t="s">
        <v>37</v>
      </c>
      <c r="D31" s="13"/>
      <c r="E31" s="13"/>
      <c r="F31" s="14"/>
      <c r="G31" s="5" t="s">
        <v>39</v>
      </c>
      <c r="H31" s="9">
        <v>0.8118055555555556</v>
      </c>
      <c r="I31" s="15" t="str">
        <f t="shared" si="1"/>
        <v>#VALUE!</v>
      </c>
      <c r="J31" s="5" t="str">
        <f t="shared" si="2"/>
        <v>0:00</v>
      </c>
      <c r="K31" s="16" t="str">
        <f t="shared" si="3"/>
        <v>#VALUE!</v>
      </c>
      <c r="L31" s="7" t="str">
        <f t="shared" si="4"/>
        <v>#VALUE!</v>
      </c>
      <c r="M31" s="9" t="str">
        <f t="shared" si="7"/>
        <v>#VALUE!</v>
      </c>
      <c r="N31" s="9" t="str">
        <f t="shared" si="8"/>
        <v>#VALUE!</v>
      </c>
      <c r="O31" s="1"/>
      <c r="P31" s="1"/>
    </row>
  </sheetData>
  <mergeCells count="4">
    <mergeCell ref="C9:H9"/>
    <mergeCell ref="C16:H16"/>
    <mergeCell ref="C30:F30"/>
    <mergeCell ref="C31:F31"/>
  </mergeCells>
  <drawing r:id="rId1"/>
</worksheet>
</file>